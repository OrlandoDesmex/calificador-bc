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esmexdemexico-my.sharepoint.com/personal/francisco_gonzalez_desmex_com/Documents/Escritorio/Temporal/"/>
    </mc:Choice>
  </mc:AlternateContent>
  <xr:revisionPtr revIDLastSave="296" documentId="8_{2D80E8AD-A78E-49C8-88BF-B7ED4BEFD3C1}" xr6:coauthVersionLast="47" xr6:coauthVersionMax="47" xr10:uidLastSave="{0D69AC97-683D-442A-AD28-DD9BE6B68435}"/>
  <bookViews>
    <workbookView xWindow="-110" yWindow="-110" windowWidth="19420" windowHeight="11500" xr2:uid="{5EB55552-BF6B-4C86-AC83-E99D08CAA05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9" i="1" l="1"/>
  <c r="F10" i="1"/>
  <c r="F8" i="1"/>
  <c r="B5" i="1"/>
  <c r="B4" i="1"/>
  <c r="J3" i="1"/>
  <c r="I3" i="1"/>
  <c r="H3" i="1"/>
  <c r="G3" i="1"/>
  <c r="F3" i="1"/>
  <c r="E3" i="1"/>
  <c r="C3" i="1"/>
  <c r="D3" i="1"/>
  <c r="E11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Francisco Gonzalez</author>
  </authors>
  <commentList>
    <comment ref="B9" authorId="0" shapeId="0" xr:uid="{807AEF00-B9AA-47AA-B890-0C44030566D8}">
      <text>
        <r>
          <rPr>
            <b/>
            <sz val="9"/>
            <color indexed="81"/>
            <rFont val="Tahoma"/>
            <charset val="1"/>
          </rPr>
          <t>Francisco Gonzalez:</t>
        </r>
        <r>
          <rPr>
            <sz val="9"/>
            <color indexed="81"/>
            <rFont val="Tahoma"/>
            <charset val="1"/>
          </rPr>
          <t xml:space="preserve">
En caso de que se que el combustible favor de mencionar el nombre, poder calorífico y costo</t>
        </r>
      </text>
    </comment>
  </commentList>
</comments>
</file>

<file path=xl/sharedStrings.xml><?xml version="1.0" encoding="utf-8"?>
<sst xmlns="http://schemas.openxmlformats.org/spreadsheetml/2006/main" count="9" uniqueCount="9">
  <si>
    <t>Se tiene espacio y capacidad 
en transformador para SFV?</t>
  </si>
  <si>
    <t>Elija el escenario de calentamiento</t>
  </si>
  <si>
    <t>Que combustible se utiliza?</t>
  </si>
  <si>
    <t>Elija el escenario de enfriamiento</t>
  </si>
  <si>
    <t>Precalificación de proyecto para bombas de calor</t>
  </si>
  <si>
    <t>TORRE DE ENFRIAMIENTO</t>
  </si>
  <si>
    <t>GAS NATURAL</t>
  </si>
  <si>
    <t>HAY ESPACIO Y/O CAPACIDAD PARA SFV</t>
  </si>
  <si>
    <t>AGUA CALIENTE GENERADA CON VAPOR E INTERCAMBIADOR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</si>
</sst>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3">
    <fill>
      <patternFill patternType="none"/>
    </fill>
    <fill>
      <patternFill patternType="gray125"/>
    </fill>
    <fill>
      <patternFill patternType="solid">
        <fgColor rgb="FFFFCC99"/>
      </patternFill>
    </fill>
  </fills>
  <borders count="8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1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0" borderId="4" xfId="0" applyBorder="1" applyAlignment="1">
      <alignment horizontal="center" wrapText="1"/>
    </xf>
    <xf numFmtId="0" fontId="0" fillId="0" borderId="4" xfId="0" applyBorder="1" applyAlignment="1">
      <alignment horizontal="center"/>
    </xf>
    <xf numFmtId="0" fontId="2" fillId="0" borderId="6" xfId="0" applyFont="1" applyBorder="1" applyAlignment="1">
      <alignment horizontal="center" vertical="center"/>
    </xf>
    <xf numFmtId="0" fontId="1" fillId="2" borderId="1" xfId="1" applyAlignment="1">
      <alignment horizontal="left" vertical="center" wrapText="1"/>
    </xf>
    <xf numFmtId="0" fontId="1" fillId="2" borderId="1" xfId="1" applyAlignment="1">
      <alignment horizontal="left" vertical="center"/>
    </xf>
    <xf numFmtId="0" fontId="2" fillId="0" borderId="7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</cellXfs>
  <cellStyles count="2">
    <cellStyle name="Entrada" xfId="1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9B22DD-08FE-40C4-B764-8C3FA8166B3D}">
  <dimension ref="B1:J19"/>
  <sheetViews>
    <sheetView tabSelected="1" topLeftCell="A6" zoomScale="130" zoomScaleNormal="130" workbookViewId="0">
      <selection activeCell="C9" sqref="C9:E9"/>
    </sheetView>
  </sheetViews>
  <sheetFormatPr baseColWidth="10" defaultRowHeight="14.5" x14ac:dyDescent="0.35"/>
  <cols>
    <col min="2" max="2" width="33.6328125" bestFit="1" customWidth="1"/>
    <col min="3" max="3" width="22.81640625" customWidth="1"/>
    <col min="4" max="4" width="20.54296875" customWidth="1"/>
    <col min="5" max="5" width="23.7265625" customWidth="1"/>
    <col min="6" max="6" width="0" hidden="1" customWidth="1"/>
    <col min="7" max="7" width="12.26953125" bestFit="1" customWidth="1"/>
    <col min="8" max="8" width="13.453125" customWidth="1"/>
    <col min="9" max="9" width="13.90625" bestFit="1" customWidth="1"/>
    <col min="10" max="10" width="19.6328125" customWidth="1"/>
  </cols>
  <sheetData>
    <row r="1" spans="2:10" hidden="1" x14ac:dyDescent="0.35"/>
    <row r="2" spans="2:10" hidden="1" x14ac:dyDescent="0.35"/>
    <row r="3" spans="2:10" ht="55.5" hidden="1" customHeight="1" x14ac:dyDescent="0.35">
      <c r="C3" s="5" t="str">
        <f>"SE CUENTA CON CALENTADORES DE AGUA"</f>
        <v>SE CUENTA CON CALENTADORES DE AGUA</v>
      </c>
      <c r="D3" s="3" t="str">
        <f>"AGUA CALIENTE GENERADA CON VAPOR E INTERCAMBIADOR"</f>
        <v>AGUA CALIENTE GENERADA CON VAPOR E INTERCAMBIADOR</v>
      </c>
      <c r="E3" s="6" t="str">
        <f>"NO SE REQUIERE AGUA CALIENTE, SOLO VAPOR"</f>
        <v>NO SE REQUIERE AGUA CALIENTE, SOLO VAPOR</v>
      </c>
      <c r="F3" s="5" t="str">
        <f>"GAS LP"</f>
        <v>GAS LP</v>
      </c>
      <c r="G3" s="2" t="str">
        <f>"GAS NATURAL"</f>
        <v>GAS NATURAL</v>
      </c>
      <c r="H3" s="5" t="str">
        <f>"TORRE DE ENFRIAMIENTO"</f>
        <v>TORRE DE ENFRIAMIENTO</v>
      </c>
      <c r="I3" s="3" t="str">
        <f>"CHILLERS (AGUA HELADA)"</f>
        <v>CHILLERS (AGUA HELADA)</v>
      </c>
      <c r="J3" s="6" t="str">
        <f>"NO HAY REQUERIMIENTO DE ENFRIAMIENTO"</f>
        <v>NO HAY REQUERIMIENTO DE ENFRIAMIENTO</v>
      </c>
    </row>
    <row r="4" spans="2:10" ht="31" hidden="1" customHeight="1" x14ac:dyDescent="0.35">
      <c r="B4" s="4" t="str">
        <f>"SIN ESPACIO Y/O CAPACIDAD PARA SFV"</f>
        <v>SIN ESPACIO Y/O CAPACIDAD PARA SFV</v>
      </c>
      <c r="C4" s="3">
        <v>2</v>
      </c>
      <c r="D4" s="2">
        <v>3</v>
      </c>
      <c r="E4" s="2">
        <v>1</v>
      </c>
      <c r="F4" s="2">
        <v>3</v>
      </c>
      <c r="G4" s="2">
        <v>1</v>
      </c>
      <c r="H4" s="2">
        <v>1</v>
      </c>
      <c r="I4" s="2">
        <v>2</v>
      </c>
      <c r="J4" s="2">
        <v>1</v>
      </c>
    </row>
    <row r="5" spans="2:10" ht="29.5" hidden="1" customHeight="1" x14ac:dyDescent="0.35">
      <c r="B5" s="4" t="str">
        <f>"HAY ESPACIO Y/O CAPACIDAD PARA SFV"</f>
        <v>HAY ESPACIO Y/O CAPACIDAD PARA SFV</v>
      </c>
      <c r="C5" s="3">
        <v>3</v>
      </c>
      <c r="D5" s="3">
        <v>4</v>
      </c>
      <c r="E5" s="3">
        <v>1</v>
      </c>
      <c r="F5" s="3">
        <v>3</v>
      </c>
      <c r="G5" s="3">
        <v>2</v>
      </c>
      <c r="H5" s="3">
        <v>1</v>
      </c>
      <c r="I5" s="3">
        <v>3</v>
      </c>
      <c r="J5" s="3">
        <v>1</v>
      </c>
    </row>
    <row r="6" spans="2:10" ht="28" customHeight="1" x14ac:dyDescent="0.35"/>
    <row r="7" spans="2:10" ht="34" customHeight="1" x14ac:dyDescent="0.35">
      <c r="B7" s="9" t="s">
        <v>0</v>
      </c>
      <c r="C7" s="13" t="s">
        <v>7</v>
      </c>
      <c r="D7" s="13"/>
      <c r="E7" s="13"/>
      <c r="F7" s="7"/>
    </row>
    <row r="8" spans="2:10" ht="14.5" customHeight="1" x14ac:dyDescent="0.35">
      <c r="B8" s="10" t="s">
        <v>1</v>
      </c>
      <c r="C8" s="12" t="s">
        <v>8</v>
      </c>
      <c r="D8" s="12"/>
      <c r="E8" s="12"/>
      <c r="F8" s="8">
        <f>IF($C$7="HAY ESPACIO Y/O CAPACIDAD PARA SFV",_xlfn.XLOOKUP(C8,$C$3:$J$3,$C$5:$J$5,0),_xlfn.XLOOKUP(C8,$C$3:$J$3,$C$4:$J$4,0))</f>
        <v>4</v>
      </c>
    </row>
    <row r="9" spans="2:10" x14ac:dyDescent="0.35">
      <c r="B9" s="10" t="s">
        <v>2</v>
      </c>
      <c r="C9" s="12" t="s">
        <v>6</v>
      </c>
      <c r="D9" s="12"/>
      <c r="E9" s="12"/>
      <c r="F9" s="8">
        <f t="shared" ref="F9:F10" si="0">IF($C$7="HAY ESPACIO Y/O CAPACIDAD PARA SFV",_xlfn.XLOOKUP(C9,$C$3:$J$3,$C$5:$J$5,0),_xlfn.XLOOKUP(C9,$C$3:$J$3,$C$4:$J$4,0))</f>
        <v>2</v>
      </c>
    </row>
    <row r="10" spans="2:10" x14ac:dyDescent="0.35">
      <c r="B10" s="10" t="s">
        <v>3</v>
      </c>
      <c r="C10" s="12" t="s">
        <v>5</v>
      </c>
      <c r="D10" s="12"/>
      <c r="E10" s="12"/>
      <c r="F10" s="8">
        <f t="shared" si="0"/>
        <v>1</v>
      </c>
    </row>
    <row r="11" spans="2:10" ht="29" customHeight="1" thickBot="1" x14ac:dyDescent="0.4">
      <c r="B11" s="14" t="s">
        <v>4</v>
      </c>
      <c r="C11" s="15"/>
      <c r="D11" s="15"/>
      <c r="E11" s="11">
        <f>SUM(F8:F10)</f>
        <v>7</v>
      </c>
    </row>
    <row r="12" spans="2:10" x14ac:dyDescent="0.35">
      <c r="B12" s="1"/>
    </row>
    <row r="13" spans="2:10" x14ac:dyDescent="0.35">
      <c r="B13" s="1"/>
    </row>
    <row r="14" spans="2:10" x14ac:dyDescent="0.35">
      <c r="B14" s="1"/>
    </row>
    <row r="15" spans="2:10" x14ac:dyDescent="0.35">
      <c r="B15" s="1"/>
    </row>
    <row r="16" spans="2:10" x14ac:dyDescent="0.35">
      <c r="B16" s="1"/>
    </row>
    <row r="17" spans="2:2" x14ac:dyDescent="0.35">
      <c r="B17" s="1"/>
    </row>
    <row r="18" spans="2:2" x14ac:dyDescent="0.35">
      <c r="B18" s="1"/>
    </row>
    <row r="19" spans="2:2" x14ac:dyDescent="0.35">
      <c r="B19" s="1"/>
    </row>
  </sheetData>
  <mergeCells count="5">
    <mergeCell ref="C8:E8"/>
    <mergeCell ref="C7:E7"/>
    <mergeCell ref="C9:E9"/>
    <mergeCell ref="C10:E10"/>
    <mergeCell ref="B11:D11"/>
  </mergeCells>
  <dataValidations count="4">
    <dataValidation type="list" allowBlank="1" showInputMessage="1" showErrorMessage="1" sqref="C8" xr:uid="{D902C1EE-0A6A-4F9A-AA29-6C16F8DAAD35}">
      <formula1>$C$3:$E$3</formula1>
    </dataValidation>
    <dataValidation type="list" allowBlank="1" showInputMessage="1" showErrorMessage="1" sqref="C9:E9" xr:uid="{83A5D4D0-DCB2-4D20-928B-98A1150397C5}">
      <formula1>$F$3:$G$3</formula1>
    </dataValidation>
    <dataValidation type="list" allowBlank="1" showInputMessage="1" showErrorMessage="1" sqref="C10" xr:uid="{83C30CCC-2C40-49DE-8A5F-C1E74009CA2D}">
      <formula1>$H$3:$J$3</formula1>
    </dataValidation>
    <dataValidation type="list" allowBlank="1" showInputMessage="1" showErrorMessage="1" sqref="C7:E7" xr:uid="{66CE7B18-060F-49C3-8525-2EA16E50C11D}">
      <formula1>$B$4:$B$5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Gonzalez</dc:creator>
  <cp:lastModifiedBy>Francisco Gonzalez</cp:lastModifiedBy>
  <dcterms:created xsi:type="dcterms:W3CDTF">2026-04-15T21:35:11Z</dcterms:created>
  <dcterms:modified xsi:type="dcterms:W3CDTF">2026-04-21T16:35:03Z</dcterms:modified>
</cp:coreProperties>
</file>